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romaingageot/Desktop/"/>
    </mc:Choice>
  </mc:AlternateContent>
  <xr:revisionPtr revIDLastSave="0" documentId="13_ncr:1_{70914DBF-7DEC-2348-973E-0EAC366CA3C0}" xr6:coauthVersionLast="47" xr6:coauthVersionMax="47" xr10:uidLastSave="{00000000-0000-0000-0000-000000000000}"/>
  <bookViews>
    <workbookView xWindow="0" yWindow="740" windowWidth="29400" windowHeight="18380" tabRatio="500" xr2:uid="{00000000-000D-0000-FFFF-FFFF00000000}"/>
  </bookViews>
  <sheets>
    <sheet name="How to Use" sheetId="1" r:id="rId1"/>
    <sheet name="Dashboard" sheetId="2" r:id="rId2"/>
    <sheet name="P&amp;L" sheetId="3" r:id="rId3"/>
    <sheet name="AI Context" sheetId="4" r:id="rId4"/>
    <sheet name="AI Prompts" sheetId="5" r:id="rId5"/>
    <sheet name="Sample Comments" sheetId="6" r:id="rId6"/>
    <sheet name="Calc" sheetId="7" state="hidden" r:id="rId7"/>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H4" i="7" l="1"/>
  <c r="E39" i="3"/>
  <c r="E38" i="3"/>
  <c r="E37" i="3"/>
  <c r="D35" i="3"/>
  <c r="E35" i="3" s="1"/>
  <c r="C35" i="3"/>
  <c r="E34" i="3"/>
  <c r="E33" i="3"/>
  <c r="D18" i="3"/>
  <c r="F18" i="3" s="1"/>
  <c r="C18" i="3"/>
  <c r="H17" i="3"/>
  <c r="F17" i="3"/>
  <c r="I17" i="3" s="1"/>
  <c r="E17" i="3"/>
  <c r="G11" i="7" s="1"/>
  <c r="I16" i="3"/>
  <c r="H16" i="3"/>
  <c r="E33" i="2" s="1"/>
  <c r="F16" i="3"/>
  <c r="E16" i="3"/>
  <c r="G10" i="7" s="1"/>
  <c r="H15" i="3"/>
  <c r="E32" i="2" s="1"/>
  <c r="F15" i="3"/>
  <c r="I15" i="3" s="1"/>
  <c r="E15" i="3"/>
  <c r="C32" i="2" s="1"/>
  <c r="H14" i="3"/>
  <c r="F14" i="3"/>
  <c r="I14" i="3" s="1"/>
  <c r="E14" i="3"/>
  <c r="G8" i="7" s="1"/>
  <c r="H13" i="3"/>
  <c r="E31" i="2" s="1"/>
  <c r="F13" i="3"/>
  <c r="I13" i="3" s="1"/>
  <c r="E13" i="3"/>
  <c r="G7" i="7" s="1"/>
  <c r="D11" i="3"/>
  <c r="C11" i="3"/>
  <c r="C19" i="3" s="1"/>
  <c r="F10" i="3"/>
  <c r="I10" i="3" s="1"/>
  <c r="E10" i="3"/>
  <c r="G6" i="7" s="1"/>
  <c r="F8" i="3"/>
  <c r="D30" i="2" s="1"/>
  <c r="E8" i="3"/>
  <c r="C39" i="3" s="1"/>
  <c r="D33" i="2"/>
  <c r="C33" i="2"/>
  <c r="D32" i="2"/>
  <c r="D31" i="2"/>
  <c r="C31" i="2"/>
  <c r="D19" i="3" l="1"/>
  <c r="F19" i="3" s="1"/>
  <c r="E18" i="3"/>
  <c r="H18" i="3" s="1"/>
  <c r="C24" i="3"/>
  <c r="F11" i="7"/>
  <c r="E11" i="7"/>
  <c r="F8" i="7"/>
  <c r="E8" i="7"/>
  <c r="C25" i="3"/>
  <c r="D4" i="7"/>
  <c r="C27" i="3"/>
  <c r="E19" i="3"/>
  <c r="D12" i="7"/>
  <c r="C26" i="3"/>
  <c r="F6" i="2"/>
  <c r="B6" i="2"/>
  <c r="H6" i="2"/>
  <c r="F7" i="7"/>
  <c r="E7" i="7"/>
  <c r="F10" i="7"/>
  <c r="E10" i="7"/>
  <c r="F6" i="7"/>
  <c r="E6" i="7"/>
  <c r="H8" i="3"/>
  <c r="E30" i="2" s="1"/>
  <c r="E11" i="3"/>
  <c r="H11" i="3" s="1"/>
  <c r="I8" i="3"/>
  <c r="F11" i="3"/>
  <c r="G9" i="7"/>
  <c r="H10" i="3"/>
  <c r="C23" i="3"/>
  <c r="C30" i="2"/>
  <c r="G5" i="7"/>
  <c r="I11" i="3" l="1"/>
  <c r="H12" i="7"/>
  <c r="I18" i="3"/>
  <c r="C34" i="2"/>
  <c r="H19" i="3"/>
  <c r="E34" i="2" s="1"/>
  <c r="D6" i="2"/>
  <c r="I19" i="3"/>
  <c r="D34" i="2"/>
  <c r="F5" i="7"/>
  <c r="E5" i="7"/>
  <c r="F9" i="7"/>
  <c r="E9" i="7"/>
  <c r="H5" i="7"/>
  <c r="C5" i="7"/>
  <c r="H6" i="7" l="1"/>
  <c r="C6" i="7" s="1"/>
  <c r="H7" i="7" l="1"/>
  <c r="H8" i="7" l="1"/>
  <c r="C8" i="7" s="1"/>
  <c r="C7" i="7"/>
  <c r="H9" i="7" l="1"/>
  <c r="H10" i="7" l="1"/>
  <c r="C9" i="7"/>
  <c r="H11" i="7" l="1"/>
  <c r="C11" i="7"/>
  <c r="C10" i="7"/>
</calcChain>
</file>

<file path=xl/sharedStrings.xml><?xml version="1.0" encoding="utf-8"?>
<sst xmlns="http://schemas.openxmlformats.org/spreadsheetml/2006/main" count="128" uniqueCount="103">
  <si>
    <t>VARIANCE ANALYSIS TOOL — Budget vs Actuals</t>
  </si>
  <si>
    <t>Monthly FP&amp;A reporting · AI-assisted commentary</t>
  </si>
  <si>
    <t>TABS</t>
  </si>
  <si>
    <t>• Dashboard — the summary view: KPIs + EBITDA waterfall. This is the tab to present.</t>
  </si>
  <si>
    <t>• P&amp;L — the engine: enter Actuals (blue), variances, materiality, price/volume bridge.</t>
  </si>
  <si>
    <t>• AI Context — the block to copy into Claude/ChatGPT to generate the commentary.</t>
  </si>
  <si>
    <t>• AI Prompts — the library: 3 audiences, bilingual option, consistency guardrail.</t>
  </si>
  <si>
    <t>• Sample Comments — example outputs (safety net during a live demo).</t>
  </si>
  <si>
    <t>• Calc — technical tab (chart data). Do not edit.</t>
  </si>
  <si>
    <t>THE 4-STEP FLOW</t>
  </si>
  <si>
    <t>1.  P&amp;L → enter this month's Actuals (blue column). Everything recalculates, Dashboard included.</t>
  </si>
  <si>
    <t>2.  Click « Generate AI Context » → gathers the material variances.</t>
  </si>
  <si>
    <t>3.  AI Context tab → copy prompt + block into the AI.</t>
  </si>
  <si>
    <t>4.  Paste the commentary back into the report, after review.</t>
  </si>
  <si>
    <t>AI PRINCIPLE</t>
  </si>
  <si>
    <t>Excel computes (deterministic), the AI writes (language), the analyst validates (human-in-the-loop). The AI never recalculates. 100% fictional data — transport / logistics sector.</t>
  </si>
  <si>
    <t>FP&amp;A DASHBOARD — Variance Analysis</t>
  </si>
  <si>
    <t>Budget vs Actuals · Month M · $</t>
  </si>
  <si>
    <t>EBITDA Actual</t>
  </si>
  <si>
    <t>Variance vs Budget</t>
  </si>
  <si>
    <t>EBITDA margin %</t>
  </si>
  <si>
    <t>Budget realization</t>
  </si>
  <si>
    <t>Material variances this month</t>
  </si>
  <si>
    <t>Line</t>
  </si>
  <si>
    <t>Variance $</t>
  </si>
  <si>
    <t>Variance %</t>
  </si>
  <si>
    <t>Direction</t>
  </si>
  <si>
    <t>Revenue</t>
  </si>
  <si>
    <t>Personnel costs</t>
  </si>
  <si>
    <t>IT &amp; software</t>
  </si>
  <si>
    <t>Sales &amp; marketing</t>
  </si>
  <si>
    <t>EBITDA</t>
  </si>
  <si>
    <t>P&amp;L — Variance Analysis</t>
  </si>
  <si>
    <t>Period: Month M · Amounts in $</t>
  </si>
  <si>
    <t>Materiality thresholds</t>
  </si>
  <si>
    <t>% threshold</t>
  </si>
  <si>
    <t>$ threshold</t>
  </si>
  <si>
    <t>P&amp;L Line</t>
  </si>
  <si>
    <t>Budget</t>
  </si>
  <si>
    <t>Actual</t>
  </si>
  <si>
    <t>Type</t>
  </si>
  <si>
    <t>Material</t>
  </si>
  <si>
    <t>REVENUE</t>
  </si>
  <si>
    <t>COST OF SALES</t>
  </si>
  <si>
    <t>Cost of sales</t>
  </si>
  <si>
    <t>Cost</t>
  </si>
  <si>
    <t>Gross Profit</t>
  </si>
  <si>
    <t>OPERATING EXPENSES</t>
  </si>
  <si>
    <t>Facilities &amp; rent</t>
  </si>
  <si>
    <t>Other OpEx</t>
  </si>
  <si>
    <t>Total OpEx</t>
  </si>
  <si>
    <t>KPIs</t>
  </si>
  <si>
    <t>Gross margin % (Budget)</t>
  </si>
  <si>
    <t>Gross margin % (Actual)</t>
  </si>
  <si>
    <t>EBITDA margin % (Budget)</t>
  </si>
  <si>
    <t>EBITDA margin % (Actual)</t>
  </si>
  <si>
    <t>Budget realization (EBITDA)</t>
  </si>
  <si>
    <t>PRICE / VOLUME BRIDGE — Revenue</t>
  </si>
  <si>
    <t>Revenue = Volume (nb of shipments) × Average price</t>
  </si>
  <si>
    <t>Variance</t>
  </si>
  <si>
    <t>Volume (shipments)</t>
  </si>
  <si>
    <t>Average price / shipment</t>
  </si>
  <si>
    <t>Revenue (= Vol × Price)</t>
  </si>
  <si>
    <t>Volume effect = (Vol_a − Vol_b) × Price_b</t>
  </si>
  <si>
    <t>Price effect = (Price_a − Price_b) × Vol_a</t>
  </si>
  <si>
    <t>Check: Volume + Price = Revenue variance</t>
  </si>
  <si>
    <t>AI CONTEXT — copy into Claude / ChatGPT</t>
  </si>
  <si>
    <t>1) Click « Generate AI Context » (P&amp;L tab).  2) Copy the PROMPT then the BLOCK.  3) Paste the commentary back, after review.</t>
  </si>
  <si>
    <t>── PROMPT ──</t>
  </si>
  <si>
    <t>── DATA BLOCK (generated by the macro) ──</t>
  </si>
  <si>
    <t>── VALIDATED EXECUTIVE SUMMARY (paste here for the deck) ──</t>
  </si>
  <si>
    <t>AI PROMPT LIBRARY</t>
  </si>
  <si>
    <t>Pick the audience, add the bilingual option if needed, run the guardrail as a final check. The AI never recalculates.</t>
  </si>
  <si>
    <t>① CFO / Finance leadership</t>
  </si>
  <si>
    <t>② Ops / Field managers</t>
  </si>
  <si>
    <t>③ Executive / Board (strategic summary)</t>
  </si>
  <si>
    <t>④ Bilingual option (EN / FR)</t>
  </si>
  <si>
    <t>Add: « Produce the answer in two versions: first in professional English, then in professional French. »  →  Direct differentiator for the Canadian / Quebec market.</t>
  </si>
  <si>
    <t>⑤ AI guardrail (check after generation)</t>
  </si>
  <si>
    <t>You are a QA reviewer. Here are (a) the source variances with figures and (b) the AI-written commentary. Check that every figure cited matches the source data and that the favorable/unfavorable direction is correct. Answer as a table: Line | Consistent (Yes/No) | Issue. Do not rewrite, only flag.</t>
  </si>
  <si>
    <t>SAMPLE AI COMMENTARY</t>
  </si>
  <si>
    <t>Generated commentary</t>
  </si>
  <si>
    <t>Executive summary</t>
  </si>
  <si>
    <t>CALC — waterfall data (technical tab, do not edit)</t>
  </si>
  <si>
    <t>Step</t>
  </si>
  <si>
    <t>Base</t>
  </si>
  <si>
    <t>Total</t>
  </si>
  <si>
    <t>Favorable</t>
  </si>
  <si>
    <t>Unfavorable</t>
  </si>
  <si>
    <t>effect</t>
  </si>
  <si>
    <t>running</t>
  </si>
  <si>
    <t>EBITDA Budget</t>
  </si>
  <si>
    <t>Personnel</t>
  </si>
  <si>
    <t>Facilities</t>
  </si>
  <si>
    <t>Marketing</t>
  </si>
  <si>
    <t/>
  </si>
  <si>
    <t>Budget vs. Actual Variances to Be Commented On (Figures Already Calculated):
Revenue : Budget 2 000 000 $ / Actual 1 880 000 $ / GAP -120 000 $ (-6,0%) / Unfavorable
Gross Profit : Budget 700 000 $ / Actual 550 000 $ / GAP -150 000 $ (-21,4%) / Unfavorable
Personnel costs : Budget 280 000 $ / Actual 305 000 $ / GAP 25 000 $ (8,9%) / Unfavorable
IT &amp; software : Budget 45 000 $ / Actual 72 000 $ / GAP 27 000 $ (60,0%) / Unfavorable
Sales &amp; marketing : Budget 70 000 $ / Actual 45 000 $ / GAP -25 000 $ (-35,7%) / Favorable
EBITDA : Budget 210 000 $ / Actual 37 000 $ / GAP -173 000 $ (-82,4%) / Unfavorable
(6 GAP(s) material(s) - context :Transport and Logisctics company</t>
  </si>
  <si>
    <t>You are a senior FP&amp;A analyst. From the budget vs actual variances below (already computed, do not recalculate), write an executive summary of 4–5 sentences on the overall EBITDA impact: the main favorable and unfavorable drivers, their magnitude and likely causes, and the key point to investigate. Clear, factual, professional English. Do not invent any figures.</t>
  </si>
  <si>
    <t>EBITDA fell sharply to $37,000 against a $210,000 budget, a $173,000 (-82.4%) shortfall that signals a fundamental erosion of profitability rather than a simple volume miss. The primary driver is margin compression: while revenue declined only 6.0%, gross profit dropped 21.4%, indicating that unit costs (likely fuel, subcontracted transport, or freight procurement in this logistics business) rose faster than pricing or volume could absorb. This margin pressure was compounded by two cost overruns below the gross profit line — personnel costs exceeded budget by $25,000 (+8.9%) and IT &amp; software spend nearly doubled at $72,000 versus $45,000 (+60.0%) — both of which warrant immediate investigation into their root cause (headcount/overtime versus rate effects for personnel; one-off implementation or contract renewal for IT). The $25,000 (-35.7%) favorable variance in sales &amp; marketing only partially offset these overruns and should be scrutinized for its potential impact on future revenue generation if it reflects underinvestment rather than efficiency gains. The priority for management is to isolate whether the gross profit erosion stems from cost inflation, pricing/mix, or operational inefficiency, as this single variance accounts for the majority of the EBITDA shortfall.</t>
  </si>
  <si>
    <t>You are a senior FP&amp;A analyst. From the variances below (already computed, do not recalculate), write ONLY a 2–3 sentence executive summary for the CFO: EBITDA position vs budget, the main margin drivers, and the top priority. No line-by-line detail. Factual, concise. Do not invent any figures. (Then paste the BLOCK from the AI Context tab.)</t>
  </si>
  <si>
    <t>You are an FP&amp;A business partner. From the variances below (already computed, do not recalculate), write ONLY a 2–3 sentence summary for operations managers: what happened this month in plain business terms (transport/logistics), the main driver, and the key action to take. No line-by-line detail, no financial jargon. Do not invent any figures. (Then paste the BLOCK from the AI Context tab.)</t>
  </si>
  <si>
    <t>You are an FP&amp;A manager preparing the executive review. From the variances below (already computed, do not recalculate), write ONLY a 2–3 sentence strategic summary: EBITDA vs budget, the main structural driver, and the recommendation. High-level, board tone. Do not invent any figures. (Then paste the BLOCK from the AI Context tab.)</t>
  </si>
  <si>
    <r>
      <t xml:space="preserve">EBITDA was significantly below budget, with an unfavorable variance of </t>
    </r>
    <r>
      <rPr>
        <b/>
        <sz val="11"/>
        <color theme="1"/>
        <rFont val="Calibri"/>
        <family val="2"/>
        <charset val="1"/>
      </rPr>
      <t>$173,000 (-82.4%)</t>
    </r>
    <r>
      <rPr>
        <sz val="11"/>
        <color theme="1"/>
        <rFont val="Calibri"/>
        <family val="2"/>
        <charset val="1"/>
      </rPr>
      <t>, primarily driven by lower revenue (</t>
    </r>
    <r>
      <rPr>
        <b/>
        <sz val="11"/>
        <color theme="1"/>
        <rFont val="Calibri"/>
        <family val="2"/>
        <charset val="1"/>
      </rPr>
      <t>-$120,000</t>
    </r>
    <r>
      <rPr>
        <sz val="11"/>
        <color theme="1"/>
        <rFont val="Calibri"/>
        <family val="2"/>
        <charset val="1"/>
      </rPr>
      <t>) and a substantial decline in gross profit (</t>
    </r>
    <r>
      <rPr>
        <b/>
        <sz val="11"/>
        <color theme="1"/>
        <rFont val="Calibri"/>
        <family val="2"/>
        <charset val="1"/>
      </rPr>
      <t>-$150,000</t>
    </r>
    <r>
      <rPr>
        <sz val="11"/>
        <color theme="1"/>
        <rFont val="Calibri"/>
        <family val="2"/>
        <charset val="1"/>
      </rPr>
      <t>), indicating both weaker sales performance and margin pressure. Operating expenses also exceeded plan, mainly due to higher personnel costs (</t>
    </r>
    <r>
      <rPr>
        <b/>
        <sz val="11"/>
        <color theme="1"/>
        <rFont val="Calibri"/>
        <family val="2"/>
        <charset val="1"/>
      </rPr>
      <t>+$25,000</t>
    </r>
    <r>
      <rPr>
        <sz val="11"/>
        <color theme="1"/>
        <rFont val="Calibri"/>
        <family val="2"/>
        <charset val="1"/>
      </rPr>
      <t>) and a significant increase in IT &amp; software spending (</t>
    </r>
    <r>
      <rPr>
        <b/>
        <sz val="11"/>
        <color theme="1"/>
        <rFont val="Calibri"/>
        <family val="2"/>
        <charset val="1"/>
      </rPr>
      <t>+$27,000</t>
    </r>
    <r>
      <rPr>
        <sz val="11"/>
        <color theme="1"/>
        <rFont val="Calibri"/>
        <family val="2"/>
        <charset val="1"/>
      </rPr>
      <t>), further reducing profitability. These adverse impacts were only partially offset by favorable savings in Sales &amp; Marketing expenses (</t>
    </r>
    <r>
      <rPr>
        <b/>
        <sz val="11"/>
        <color theme="1"/>
        <rFont val="Calibri"/>
        <family val="2"/>
        <charset val="1"/>
      </rPr>
      <t>-$25,000</t>
    </r>
    <r>
      <rPr>
        <sz val="11"/>
        <color theme="1"/>
        <rFont val="Calibri"/>
        <family val="2"/>
        <charset val="1"/>
      </rPr>
      <t>), which were insufficient to compensate for the shortfall in revenue and gross profit. The main area for investigation should be the sharp deterioration in gross profit, including whether it was caused by pricing pressure, higher transportation or operating costs, changes in customer or service mix, or other margin-related factors.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</si>
</sst>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quot;($&quot;#,##0\);\-"/>
    <numFmt numFmtId="165" formatCode="0.0%;\(0.0%\);\-"/>
    <numFmt numFmtId="166" formatCode="0.0%"/>
  </numFmts>
  <fonts count="26" x14ac:knownFonts="1">
    <font>
      <sz val="11"/>
      <color theme="1"/>
      <name val="Calibri"/>
      <family val="2"/>
      <charset val="1"/>
    </font>
    <font>
      <b/>
      <sz val="16"/>
      <color rgb="FF1F3864"/>
      <name val="Arial"/>
      <family val="2"/>
    </font>
    <font>
      <b/>
      <sz val="12"/>
      <color rgb="FF1F3864"/>
      <name val="Arial"/>
      <family val="2"/>
    </font>
    <font>
      <sz val="10"/>
      <color rgb="FF000000"/>
      <name val="Arial"/>
      <family val="2"/>
    </font>
    <font>
      <i/>
      <sz val="9"/>
      <color rgb="FF808080"/>
      <name val="Arial"/>
      <family val="2"/>
    </font>
    <font>
      <sz val="10"/>
      <color rgb="FF808080"/>
      <name val="Arial"/>
      <family val="2"/>
    </font>
    <font>
      <b/>
      <sz val="9"/>
      <color rgb="FFFFFFFF"/>
      <name val="Arial"/>
      <family val="2"/>
    </font>
    <font>
      <b/>
      <sz val="11"/>
      <color rgb="FF1F3864"/>
      <name val="Arial"/>
      <family val="2"/>
    </font>
    <font>
      <sz val="9"/>
      <color rgb="FF000000"/>
      <name val="Arial"/>
      <family val="2"/>
    </font>
    <font>
      <b/>
      <sz val="14"/>
      <color rgb="FF1F3864"/>
      <name val="Arial"/>
      <family val="2"/>
    </font>
    <font>
      <sz val="9"/>
      <color rgb="FF808080"/>
      <name val="Arial"/>
      <family val="2"/>
    </font>
    <font>
      <b/>
      <sz val="9"/>
      <color rgb="FF1F3864"/>
      <name val="Arial"/>
      <family val="2"/>
    </font>
    <font>
      <b/>
      <sz val="9"/>
      <color rgb="FF0000FF"/>
      <name val="Arial"/>
      <family val="2"/>
    </font>
    <font>
      <b/>
      <sz val="10"/>
      <color rgb="FFFFFFFF"/>
      <name val="Arial"/>
      <family val="2"/>
    </font>
    <font>
      <b/>
      <sz val="10"/>
      <color rgb="FF1F3864"/>
      <name val="Arial"/>
      <family val="2"/>
    </font>
    <font>
      <b/>
      <sz val="10"/>
      <color rgb="FF000000"/>
      <name val="Arial"/>
      <family val="2"/>
    </font>
    <font>
      <sz val="10"/>
      <color rgb="FF0000FF"/>
      <name val="Arial"/>
      <family val="2"/>
    </font>
    <font>
      <b/>
      <sz val="9"/>
      <color rgb="FF000000"/>
      <name val="Arial"/>
      <family val="2"/>
    </font>
    <font>
      <sz val="9"/>
      <color rgb="FF2E7D32"/>
      <name val="Arial"/>
      <family val="2"/>
    </font>
    <font>
      <b/>
      <sz val="10"/>
      <color rgb="FF2E7D32"/>
      <name val="Arial"/>
      <family val="2"/>
    </font>
    <font>
      <i/>
      <sz val="10"/>
      <color rgb="FF808080"/>
      <name val="Arial"/>
      <family val="2"/>
    </font>
    <font>
      <b/>
      <sz val="10"/>
      <color rgb="FF808080"/>
      <name val="Arial"/>
      <family val="2"/>
    </font>
    <font>
      <sz val="8"/>
      <color rgb="FFC0C0C0"/>
      <name val="Arial"/>
      <family val="2"/>
    </font>
    <font>
      <b/>
      <sz val="20"/>
      <color rgb="FF000000"/>
      <name val="Arial"/>
      <family val="2"/>
    </font>
    <font>
      <sz val="13.2"/>
      <color rgb="FF000000"/>
      <name val="Aptos Narrow"/>
    </font>
    <font>
      <b/>
      <sz val="11"/>
      <color theme="1"/>
      <name val="Calibri"/>
      <family val="2"/>
      <charset val="1"/>
    </font>
  </fonts>
  <fills count="10">
    <fill>
      <patternFill patternType="none"/>
    </fill>
    <fill>
      <patternFill patternType="gray125"/>
    </fill>
    <fill>
      <patternFill patternType="solid">
        <fgColor rgb="FF1F3864"/>
        <bgColor rgb="FF333333"/>
      </patternFill>
    </fill>
    <fill>
      <patternFill patternType="solid">
        <fgColor rgb="FFEDF1F9"/>
        <bgColor rgb="FFF2F2F2"/>
      </patternFill>
    </fill>
    <fill>
      <patternFill patternType="solid">
        <fgColor rgb="FFFFFF00"/>
        <bgColor rgb="FFFFFF00"/>
      </patternFill>
    </fill>
    <fill>
      <patternFill patternType="solid">
        <fgColor rgb="FFD9E1F2"/>
        <bgColor rgb="FFD9D9D9"/>
      </patternFill>
    </fill>
    <fill>
      <patternFill patternType="solid">
        <fgColor rgb="FFF2F2F2"/>
        <bgColor rgb="FFEDF1F9"/>
      </patternFill>
    </fill>
    <fill>
      <patternFill patternType="solid">
        <fgColor rgb="FFFFFDEB"/>
        <bgColor rgb="FFFFFFFF"/>
      </patternFill>
    </fill>
    <fill>
      <patternFill patternType="solid">
        <fgColor rgb="FFE2EFDA"/>
        <bgColor rgb="FFEDF1F9"/>
      </patternFill>
    </fill>
    <fill>
      <patternFill patternType="solid">
        <fgColor rgb="FF808080"/>
        <bgColor rgb="FF878787"/>
      </patternFill>
    </fill>
  </fills>
  <borders count="3">
    <border>
      <left/>
      <right/>
      <top/>
      <bottom/>
      <diagonal/>
    </border>
    <border>
      <left style="medium">
        <color rgb="FF1F3864"/>
      </left>
      <right style="medium">
        <color rgb="FF1F3864"/>
      </right>
      <top style="medium">
        <color rgb="FF1F3864"/>
      </top>
      <bottom style="medium">
        <color rgb="FF1F3864"/>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6">
    <xf numFmtId="0" fontId="0" fillId="0" borderId="0" xfId="0"/>
    <xf numFmtId="0" fontId="1" fillId="0" borderId="0" xfId="0" applyFont="1" applyAlignment="1">
      <alignment vertical="top" wrapText="1"/>
    </xf>
    <xf numFmtId="0" fontId="2" fillId="0" borderId="0" xfId="0" applyFont="1" applyAlignment="1">
      <alignment vertical="top" wrapText="1"/>
    </xf>
    <xf numFmtId="0" fontId="3" fillId="0" borderId="0" xfId="0" applyFont="1" applyAlignment="1">
      <alignment vertical="top" wrapText="1"/>
    </xf>
    <xf numFmtId="0" fontId="4" fillId="0" borderId="0" xfId="0" applyFont="1" applyAlignment="1">
      <alignment vertical="top" wrapText="1"/>
    </xf>
    <xf numFmtId="0" fontId="1" fillId="0" borderId="0" xfId="0" applyFont="1"/>
    <xf numFmtId="0" fontId="5" fillId="0" borderId="0" xfId="0" applyFont="1"/>
    <xf numFmtId="0" fontId="7" fillId="0" borderId="0" xfId="0" applyFont="1"/>
    <xf numFmtId="0" fontId="6" fillId="2" borderId="2" xfId="0" applyFont="1" applyFill="1" applyBorder="1" applyAlignment="1">
      <alignment horizontal="center"/>
    </xf>
    <xf numFmtId="0" fontId="8" fillId="0" borderId="2" xfId="0" applyFont="1" applyBorder="1"/>
    <xf numFmtId="164" fontId="8" fillId="0" borderId="2" xfId="0" applyNumberFormat="1" applyFont="1" applyBorder="1" applyAlignment="1">
      <alignment horizontal="right"/>
    </xf>
    <xf numFmtId="165" fontId="8" fillId="0" borderId="2" xfId="0" applyNumberFormat="1" applyFont="1" applyBorder="1" applyAlignment="1">
      <alignment horizontal="right"/>
    </xf>
    <xf numFmtId="0" fontId="8" fillId="0" borderId="2" xfId="0" applyFont="1" applyBorder="1" applyAlignment="1">
      <alignment horizontal="center"/>
    </xf>
    <xf numFmtId="0" fontId="9" fillId="0" borderId="0" xfId="0" applyFont="1"/>
    <xf numFmtId="0" fontId="10" fillId="0" borderId="0" xfId="0" applyFont="1"/>
    <xf numFmtId="0" fontId="11" fillId="0" borderId="0" xfId="0" applyFont="1"/>
    <xf numFmtId="0" fontId="8" fillId="0" borderId="0" xfId="0" applyFont="1"/>
    <xf numFmtId="166" fontId="12" fillId="4" borderId="2" xfId="0" applyNumberFormat="1" applyFont="1" applyFill="1" applyBorder="1"/>
    <xf numFmtId="164" fontId="12" fillId="4" borderId="2" xfId="0" applyNumberFormat="1" applyFont="1" applyFill="1" applyBorder="1"/>
    <xf numFmtId="0" fontId="13" fillId="2" borderId="2" xfId="0" applyFont="1" applyFill="1" applyBorder="1" applyAlignment="1">
      <alignment horizontal="center" vertical="center"/>
    </xf>
    <xf numFmtId="0" fontId="14" fillId="5" borderId="0" xfId="0" applyFont="1" applyFill="1"/>
    <xf numFmtId="0" fontId="0" fillId="5" borderId="0" xfId="0" applyFill="1"/>
    <xf numFmtId="0" fontId="3" fillId="0" borderId="2" xfId="0" applyFont="1" applyBorder="1"/>
    <xf numFmtId="164" fontId="3" fillId="0" borderId="2" xfId="0" applyNumberFormat="1" applyFont="1" applyBorder="1"/>
    <xf numFmtId="165" fontId="0" fillId="0" borderId="2" xfId="0" applyNumberFormat="1" applyBorder="1"/>
    <xf numFmtId="0" fontId="15" fillId="6" borderId="2" xfId="0" applyFont="1" applyFill="1" applyBorder="1"/>
    <xf numFmtId="164" fontId="15" fillId="6" borderId="2" xfId="0" applyNumberFormat="1" applyFont="1" applyFill="1" applyBorder="1"/>
    <xf numFmtId="165" fontId="0" fillId="6" borderId="2" xfId="0" applyNumberFormat="1" applyFill="1" applyBorder="1"/>
    <xf numFmtId="0" fontId="8" fillId="6" borderId="2" xfId="0" applyFont="1" applyFill="1" applyBorder="1" applyAlignment="1">
      <alignment horizontal="center"/>
    </xf>
    <xf numFmtId="0" fontId="14" fillId="5" borderId="2" xfId="0" applyFont="1" applyFill="1" applyBorder="1"/>
    <xf numFmtId="164" fontId="14" fillId="5" borderId="2" xfId="0" applyNumberFormat="1" applyFont="1" applyFill="1" applyBorder="1"/>
    <xf numFmtId="165" fontId="14" fillId="5" borderId="2" xfId="0" applyNumberFormat="1" applyFont="1" applyFill="1" applyBorder="1"/>
    <xf numFmtId="0" fontId="14" fillId="5" borderId="2" xfId="0" applyFont="1" applyFill="1" applyBorder="1" applyAlignment="1">
      <alignment horizontal="center"/>
    </xf>
    <xf numFmtId="0" fontId="2" fillId="0" borderId="0" xfId="0" applyFont="1"/>
    <xf numFmtId="0" fontId="3" fillId="0" borderId="0" xfId="0" applyFont="1"/>
    <xf numFmtId="165" fontId="15" fillId="0" borderId="2" xfId="0" applyNumberFormat="1" applyFont="1" applyBorder="1"/>
    <xf numFmtId="0" fontId="13" fillId="2" borderId="2" xfId="0" applyFont="1" applyFill="1" applyBorder="1" applyAlignment="1">
      <alignment horizontal="center"/>
    </xf>
    <xf numFmtId="3" fontId="16" fillId="0" borderId="2" xfId="0" applyNumberFormat="1" applyFont="1" applyBorder="1"/>
    <xf numFmtId="3" fontId="3" fillId="0" borderId="2" xfId="0" applyNumberFormat="1" applyFont="1" applyBorder="1"/>
    <xf numFmtId="164" fontId="16" fillId="0" borderId="2" xfId="0" applyNumberFormat="1" applyFont="1" applyBorder="1"/>
    <xf numFmtId="0" fontId="15" fillId="0" borderId="2" xfId="0" applyFont="1" applyBorder="1"/>
    <xf numFmtId="164" fontId="15" fillId="0" borderId="2" xfId="0" applyNumberFormat="1" applyFont="1" applyBorder="1"/>
    <xf numFmtId="0" fontId="4" fillId="0" borderId="0" xfId="0" applyFont="1"/>
    <xf numFmtId="164" fontId="14" fillId="0" borderId="2" xfId="0" applyNumberFormat="1" applyFont="1" applyBorder="1"/>
    <xf numFmtId="0" fontId="17" fillId="0" borderId="0" xfId="0" applyFont="1"/>
    <xf numFmtId="0" fontId="18" fillId="0" borderId="0" xfId="0" applyFont="1"/>
    <xf numFmtId="164" fontId="19" fillId="0" borderId="2" xfId="0" applyNumberFormat="1" applyFont="1" applyBorder="1"/>
    <xf numFmtId="0" fontId="10" fillId="0" borderId="0" xfId="0" applyFont="1" applyAlignment="1">
      <alignment wrapText="1"/>
    </xf>
    <xf numFmtId="0" fontId="14" fillId="0" borderId="0" xfId="0" applyFont="1"/>
    <xf numFmtId="0" fontId="3" fillId="6" borderId="2" xfId="0" applyFont="1" applyFill="1" applyBorder="1" applyAlignment="1">
      <alignment vertical="top" wrapText="1"/>
    </xf>
    <xf numFmtId="0" fontId="20" fillId="7" borderId="2" xfId="0" applyFont="1" applyFill="1" applyBorder="1" applyAlignment="1">
      <alignment vertical="top" wrapText="1"/>
    </xf>
    <xf numFmtId="0" fontId="3" fillId="7" borderId="2" xfId="0" applyFont="1" applyFill="1" applyBorder="1" applyAlignment="1">
      <alignment vertical="top" wrapText="1"/>
    </xf>
    <xf numFmtId="0" fontId="3" fillId="8" borderId="2" xfId="0" applyFont="1" applyFill="1" applyBorder="1" applyAlignment="1">
      <alignment vertical="top" wrapText="1"/>
    </xf>
    <xf numFmtId="0" fontId="13" fillId="2" borderId="2" xfId="0" applyFont="1" applyFill="1" applyBorder="1"/>
    <xf numFmtId="0" fontId="14" fillId="8" borderId="2" xfId="0" applyFont="1" applyFill="1" applyBorder="1" applyAlignment="1">
      <alignment vertical="top" wrapText="1"/>
    </xf>
    <xf numFmtId="0" fontId="21" fillId="0" borderId="0" xfId="0" applyFont="1"/>
    <xf numFmtId="0" fontId="6" fillId="9" borderId="2" xfId="0" applyFont="1" applyFill="1" applyBorder="1"/>
    <xf numFmtId="0" fontId="22" fillId="0" borderId="0" xfId="0" applyFont="1"/>
    <xf numFmtId="164" fontId="8" fillId="0" borderId="2" xfId="0" applyNumberFormat="1" applyFont="1" applyBorder="1"/>
    <xf numFmtId="164" fontId="22" fillId="0" borderId="0" xfId="0" applyNumberFormat="1" applyFont="1"/>
    <xf numFmtId="0" fontId="23" fillId="0" borderId="0" xfId="0" applyFont="1" applyAlignment="1">
      <alignment vertical="top" wrapText="1"/>
    </xf>
    <xf numFmtId="0" fontId="0" fillId="0" borderId="0" xfId="0" quotePrefix="1"/>
    <xf numFmtId="0" fontId="0" fillId="0" borderId="0" xfId="0" applyAlignment="1">
      <alignment wrapText="1"/>
    </xf>
    <xf numFmtId="0" fontId="6" fillId="2" borderId="1" xfId="0" applyFont="1" applyFill="1" applyBorder="1" applyAlignment="1">
      <alignment horizontal="center"/>
    </xf>
    <xf numFmtId="164" fontId="1" fillId="3" borderId="1" xfId="0" applyNumberFormat="1" applyFont="1" applyFill="1" applyBorder="1" applyAlignment="1">
      <alignment horizontal="center"/>
    </xf>
    <xf numFmtId="165" fontId="1" fillId="3" borderId="1" xfId="0" applyNumberFormat="1"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DEB"/>
      <rgbColor rgb="FFEDF1F9"/>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2F2F2"/>
      <rgbColor rgb="FFE2EFDA"/>
      <rgbColor rgb="FFFFFF99"/>
      <rgbColor rgb="FFBFBFBF"/>
      <rgbColor rgb="FFFF99CC"/>
      <rgbColor rgb="FFCC99FF"/>
      <rgbColor rgb="FFD9E1F2"/>
      <rgbColor rgb="FF3366FF"/>
      <rgbColor rgb="FF33CCCC"/>
      <rgbColor rgb="FF99CC00"/>
      <rgbColor rgb="FFFFCC00"/>
      <rgbColor rgb="FFFF9900"/>
      <rgbColor rgb="FFFF6600"/>
      <rgbColor rgb="FF666699"/>
      <rgbColor rgb="FF878787"/>
      <rgbColor rgb="FF1F3864"/>
      <rgbColor rgb="FF2E7D32"/>
      <rgbColor rgb="FF003300"/>
      <rgbColor rgb="FF333300"/>
      <rgbColor rgb="FFC62828"/>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title>
      <c:tx>
        <c:rich>
          <a:bodyPr rot="0"/>
          <a:lstStyle/>
          <a:p>
            <a:pPr>
              <a:defRPr sz="1800" b="1" strike="noStrike" spc="-1">
                <a:solidFill>
                  <a:srgbClr val="000000"/>
                </a:solidFill>
                <a:latin typeface="Calibri"/>
              </a:defRPr>
            </a:pPr>
            <a:r>
              <a:rPr lang="fr-FR" sz="1800" b="1" strike="noStrike" spc="-1">
                <a:solidFill>
                  <a:srgbClr val="000000"/>
                </a:solidFill>
                <a:latin typeface="Calibri"/>
              </a:rPr>
              <a:t>EBITDA Waterfall: Budget → Actual</a:t>
            </a:r>
          </a:p>
        </c:rich>
      </c:tx>
      <c:overlay val="0"/>
      <c:spPr>
        <a:noFill/>
        <a:ln w="0">
          <a:noFill/>
        </a:ln>
      </c:spPr>
    </c:title>
    <c:autoTitleDeleted val="0"/>
    <c:plotArea>
      <c:layout/>
      <c:barChart>
        <c:barDir val="col"/>
        <c:grouping val="stacked"/>
        <c:varyColors val="0"/>
        <c:ser>
          <c:idx val="0"/>
          <c:order val="0"/>
          <c:tx>
            <c:strRef>
              <c:f>Calc!$C$3</c:f>
              <c:strCache>
                <c:ptCount val="1"/>
                <c:pt idx="0">
                  <c:v>Base</c:v>
                </c:pt>
              </c:strCache>
            </c:strRef>
          </c:tx>
          <c:spPr>
            <a:noFill/>
            <a:ln w="0">
              <a:noFill/>
            </a:ln>
          </c:spPr>
          <c:invertIfNegative val="0"/>
          <c:dLbls>
            <c:spPr>
              <a:noFill/>
              <a:ln>
                <a:noFill/>
              </a:ln>
              <a:effectLst/>
            </c:spPr>
            <c:txPr>
              <a:bodyPr wrap="none"/>
              <a:lstStyle/>
              <a:p>
                <a:pPr>
                  <a:defRPr sz="1000" b="0" strike="noStrike" spc="-1">
                    <a:latin typeface="Arial"/>
                  </a:defRPr>
                </a:pPr>
                <a:endParaRPr lang="fr-FR"/>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Calc!$B$4:$B$12</c:f>
              <c:strCache>
                <c:ptCount val="9"/>
                <c:pt idx="0">
                  <c:v>EBITDA Budget</c:v>
                </c:pt>
                <c:pt idx="1">
                  <c:v>Revenue</c:v>
                </c:pt>
                <c:pt idx="2">
                  <c:v>Cost of sales</c:v>
                </c:pt>
                <c:pt idx="3">
                  <c:v>Personnel</c:v>
                </c:pt>
                <c:pt idx="4">
                  <c:v>Facilities</c:v>
                </c:pt>
                <c:pt idx="5">
                  <c:v>IT &amp; software</c:v>
                </c:pt>
                <c:pt idx="6">
                  <c:v>Marketing</c:v>
                </c:pt>
                <c:pt idx="7">
                  <c:v>Other OpEx</c:v>
                </c:pt>
                <c:pt idx="8">
                  <c:v>EBITDA Actual</c:v>
                </c:pt>
              </c:strCache>
            </c:strRef>
          </c:cat>
          <c:val>
            <c:numRef>
              <c:f>Calc!$C$4:$C$12</c:f>
              <c:numCache>
                <c:formatCode>\$#\ ##0;"($"#\ ##0\);\-</c:formatCode>
                <c:ptCount val="9"/>
                <c:pt idx="0">
                  <c:v>0</c:v>
                </c:pt>
                <c:pt idx="1">
                  <c:v>90000</c:v>
                </c:pt>
                <c:pt idx="2">
                  <c:v>60000</c:v>
                </c:pt>
                <c:pt idx="3">
                  <c:v>35000</c:v>
                </c:pt>
                <c:pt idx="4">
                  <c:v>35000</c:v>
                </c:pt>
                <c:pt idx="5">
                  <c:v>10000</c:v>
                </c:pt>
                <c:pt idx="6">
                  <c:v>10000</c:v>
                </c:pt>
                <c:pt idx="7">
                  <c:v>35000</c:v>
                </c:pt>
                <c:pt idx="8">
                  <c:v>0</c:v>
                </c:pt>
              </c:numCache>
            </c:numRef>
          </c:val>
          <c:extLst>
            <c:ext xmlns:c16="http://schemas.microsoft.com/office/drawing/2014/chart" uri="{C3380CC4-5D6E-409C-BE32-E72D297353CC}">
              <c16:uniqueId val="{00000000-5BAC-5048-BAD8-33439EBC9289}"/>
            </c:ext>
          </c:extLst>
        </c:ser>
        <c:ser>
          <c:idx val="1"/>
          <c:order val="1"/>
          <c:tx>
            <c:strRef>
              <c:f>Calc!$D$3</c:f>
              <c:strCache>
                <c:ptCount val="1"/>
                <c:pt idx="0">
                  <c:v>Total</c:v>
                </c:pt>
              </c:strCache>
            </c:strRef>
          </c:tx>
          <c:spPr>
            <a:solidFill>
              <a:srgbClr val="1F3864"/>
            </a:solidFill>
            <a:ln w="0">
              <a:noFill/>
            </a:ln>
          </c:spPr>
          <c:invertIfNegative val="0"/>
          <c:dLbls>
            <c:spPr>
              <a:noFill/>
              <a:ln>
                <a:noFill/>
              </a:ln>
              <a:effectLst/>
            </c:spPr>
            <c:txPr>
              <a:bodyPr wrap="none"/>
              <a:lstStyle/>
              <a:p>
                <a:pPr>
                  <a:defRPr sz="1000" b="0" strike="noStrike" spc="-1">
                    <a:latin typeface="Arial"/>
                  </a:defRPr>
                </a:pPr>
                <a:endParaRPr lang="fr-FR"/>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Calc!$B$4:$B$12</c:f>
              <c:strCache>
                <c:ptCount val="9"/>
                <c:pt idx="0">
                  <c:v>EBITDA Budget</c:v>
                </c:pt>
                <c:pt idx="1">
                  <c:v>Revenue</c:v>
                </c:pt>
                <c:pt idx="2">
                  <c:v>Cost of sales</c:v>
                </c:pt>
                <c:pt idx="3">
                  <c:v>Personnel</c:v>
                </c:pt>
                <c:pt idx="4">
                  <c:v>Facilities</c:v>
                </c:pt>
                <c:pt idx="5">
                  <c:v>IT &amp; software</c:v>
                </c:pt>
                <c:pt idx="6">
                  <c:v>Marketing</c:v>
                </c:pt>
                <c:pt idx="7">
                  <c:v>Other OpEx</c:v>
                </c:pt>
                <c:pt idx="8">
                  <c:v>EBITDA Actual</c:v>
                </c:pt>
              </c:strCache>
            </c:strRef>
          </c:cat>
          <c:val>
            <c:numRef>
              <c:f>Calc!$D$4:$D$12</c:f>
              <c:numCache>
                <c:formatCode>\$#\ ##0;"($"#\ ##0\);\-</c:formatCode>
                <c:ptCount val="9"/>
                <c:pt idx="0">
                  <c:v>210000</c:v>
                </c:pt>
                <c:pt idx="1">
                  <c:v>0</c:v>
                </c:pt>
                <c:pt idx="2">
                  <c:v>0</c:v>
                </c:pt>
                <c:pt idx="3">
                  <c:v>0</c:v>
                </c:pt>
                <c:pt idx="4">
                  <c:v>0</c:v>
                </c:pt>
                <c:pt idx="5">
                  <c:v>0</c:v>
                </c:pt>
                <c:pt idx="6">
                  <c:v>0</c:v>
                </c:pt>
                <c:pt idx="7">
                  <c:v>0</c:v>
                </c:pt>
                <c:pt idx="8">
                  <c:v>37000</c:v>
                </c:pt>
              </c:numCache>
            </c:numRef>
          </c:val>
          <c:extLst>
            <c:ext xmlns:c16="http://schemas.microsoft.com/office/drawing/2014/chart" uri="{C3380CC4-5D6E-409C-BE32-E72D297353CC}">
              <c16:uniqueId val="{00000001-5BAC-5048-BAD8-33439EBC9289}"/>
            </c:ext>
          </c:extLst>
        </c:ser>
        <c:ser>
          <c:idx val="2"/>
          <c:order val="2"/>
          <c:tx>
            <c:strRef>
              <c:f>Calc!$E$3</c:f>
              <c:strCache>
                <c:ptCount val="1"/>
                <c:pt idx="0">
                  <c:v>Favorable</c:v>
                </c:pt>
              </c:strCache>
            </c:strRef>
          </c:tx>
          <c:spPr>
            <a:solidFill>
              <a:srgbClr val="2E7D32"/>
            </a:solidFill>
            <a:ln w="0">
              <a:noFill/>
            </a:ln>
          </c:spPr>
          <c:invertIfNegative val="0"/>
          <c:dLbls>
            <c:spPr>
              <a:noFill/>
              <a:ln>
                <a:noFill/>
              </a:ln>
              <a:effectLst/>
            </c:spPr>
            <c:txPr>
              <a:bodyPr wrap="none"/>
              <a:lstStyle/>
              <a:p>
                <a:pPr>
                  <a:defRPr sz="1000" b="0" strike="noStrike" spc="-1">
                    <a:latin typeface="Arial"/>
                  </a:defRPr>
                </a:pPr>
                <a:endParaRPr lang="fr-FR"/>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Calc!$B$4:$B$12</c:f>
              <c:strCache>
                <c:ptCount val="9"/>
                <c:pt idx="0">
                  <c:v>EBITDA Budget</c:v>
                </c:pt>
                <c:pt idx="1">
                  <c:v>Revenue</c:v>
                </c:pt>
                <c:pt idx="2">
                  <c:v>Cost of sales</c:v>
                </c:pt>
                <c:pt idx="3">
                  <c:v>Personnel</c:v>
                </c:pt>
                <c:pt idx="4">
                  <c:v>Facilities</c:v>
                </c:pt>
                <c:pt idx="5">
                  <c:v>IT &amp; software</c:v>
                </c:pt>
                <c:pt idx="6">
                  <c:v>Marketing</c:v>
                </c:pt>
                <c:pt idx="7">
                  <c:v>Other OpEx</c:v>
                </c:pt>
                <c:pt idx="8">
                  <c:v>EBITDA Actual</c:v>
                </c:pt>
              </c:strCache>
            </c:strRef>
          </c:cat>
          <c:val>
            <c:numRef>
              <c:f>Calc!$E$4:$E$12</c:f>
              <c:numCache>
                <c:formatCode>\$#\ ##0;"($"#\ ##0\);\-</c:formatCode>
                <c:ptCount val="9"/>
                <c:pt idx="0">
                  <c:v>0</c:v>
                </c:pt>
                <c:pt idx="1">
                  <c:v>0</c:v>
                </c:pt>
                <c:pt idx="2">
                  <c:v>0</c:v>
                </c:pt>
                <c:pt idx="3">
                  <c:v>0</c:v>
                </c:pt>
                <c:pt idx="4">
                  <c:v>2000</c:v>
                </c:pt>
                <c:pt idx="5">
                  <c:v>0</c:v>
                </c:pt>
                <c:pt idx="6">
                  <c:v>25000</c:v>
                </c:pt>
                <c:pt idx="7">
                  <c:v>2000</c:v>
                </c:pt>
                <c:pt idx="8">
                  <c:v>0</c:v>
                </c:pt>
              </c:numCache>
            </c:numRef>
          </c:val>
          <c:extLst>
            <c:ext xmlns:c16="http://schemas.microsoft.com/office/drawing/2014/chart" uri="{C3380CC4-5D6E-409C-BE32-E72D297353CC}">
              <c16:uniqueId val="{00000002-5BAC-5048-BAD8-33439EBC9289}"/>
            </c:ext>
          </c:extLst>
        </c:ser>
        <c:ser>
          <c:idx val="3"/>
          <c:order val="3"/>
          <c:tx>
            <c:strRef>
              <c:f>Calc!$F$3</c:f>
              <c:strCache>
                <c:ptCount val="1"/>
                <c:pt idx="0">
                  <c:v>Unfavorable</c:v>
                </c:pt>
              </c:strCache>
            </c:strRef>
          </c:tx>
          <c:spPr>
            <a:solidFill>
              <a:srgbClr val="C62828"/>
            </a:solidFill>
            <a:ln w="0">
              <a:noFill/>
            </a:ln>
          </c:spPr>
          <c:invertIfNegative val="0"/>
          <c:dLbls>
            <c:spPr>
              <a:noFill/>
              <a:ln>
                <a:noFill/>
              </a:ln>
              <a:effectLst/>
            </c:spPr>
            <c:txPr>
              <a:bodyPr wrap="none"/>
              <a:lstStyle/>
              <a:p>
                <a:pPr>
                  <a:defRPr sz="1000" b="0" strike="noStrike" spc="-1">
                    <a:latin typeface="Arial"/>
                  </a:defRPr>
                </a:pPr>
                <a:endParaRPr lang="fr-FR"/>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Calc!$B$4:$B$12</c:f>
              <c:strCache>
                <c:ptCount val="9"/>
                <c:pt idx="0">
                  <c:v>EBITDA Budget</c:v>
                </c:pt>
                <c:pt idx="1">
                  <c:v>Revenue</c:v>
                </c:pt>
                <c:pt idx="2">
                  <c:v>Cost of sales</c:v>
                </c:pt>
                <c:pt idx="3">
                  <c:v>Personnel</c:v>
                </c:pt>
                <c:pt idx="4">
                  <c:v>Facilities</c:v>
                </c:pt>
                <c:pt idx="5">
                  <c:v>IT &amp; software</c:v>
                </c:pt>
                <c:pt idx="6">
                  <c:v>Marketing</c:v>
                </c:pt>
                <c:pt idx="7">
                  <c:v>Other OpEx</c:v>
                </c:pt>
                <c:pt idx="8">
                  <c:v>EBITDA Actual</c:v>
                </c:pt>
              </c:strCache>
            </c:strRef>
          </c:cat>
          <c:val>
            <c:numRef>
              <c:f>Calc!$F$4:$F$12</c:f>
              <c:numCache>
                <c:formatCode>\$#\ ##0;"($"#\ ##0\);\-</c:formatCode>
                <c:ptCount val="9"/>
                <c:pt idx="0">
                  <c:v>0</c:v>
                </c:pt>
                <c:pt idx="1">
                  <c:v>120000</c:v>
                </c:pt>
                <c:pt idx="2">
                  <c:v>30000</c:v>
                </c:pt>
                <c:pt idx="3">
                  <c:v>25000</c:v>
                </c:pt>
                <c:pt idx="4">
                  <c:v>0</c:v>
                </c:pt>
                <c:pt idx="5">
                  <c:v>27000</c:v>
                </c:pt>
                <c:pt idx="6">
                  <c:v>0</c:v>
                </c:pt>
                <c:pt idx="7">
                  <c:v>0</c:v>
                </c:pt>
                <c:pt idx="8">
                  <c:v>0</c:v>
                </c:pt>
              </c:numCache>
            </c:numRef>
          </c:val>
          <c:extLst>
            <c:ext xmlns:c16="http://schemas.microsoft.com/office/drawing/2014/chart" uri="{C3380CC4-5D6E-409C-BE32-E72D297353CC}">
              <c16:uniqueId val="{00000003-5BAC-5048-BAD8-33439EBC9289}"/>
            </c:ext>
          </c:extLst>
        </c:ser>
        <c:dLbls>
          <c:showLegendKey val="0"/>
          <c:showVal val="0"/>
          <c:showCatName val="0"/>
          <c:showSerName val="0"/>
          <c:showPercent val="0"/>
          <c:showBubbleSize val="0"/>
        </c:dLbls>
        <c:gapWidth val="40"/>
        <c:overlap val="100"/>
        <c:axId val="2681346"/>
        <c:axId val="80074132"/>
      </c:barChart>
      <c:catAx>
        <c:axId val="2681346"/>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fr-FR"/>
          </a:p>
        </c:txPr>
        <c:crossAx val="80074132"/>
        <c:crosses val="autoZero"/>
        <c:auto val="1"/>
        <c:lblAlgn val="ctr"/>
        <c:lblOffset val="100"/>
        <c:noMultiLvlLbl val="0"/>
      </c:catAx>
      <c:valAx>
        <c:axId val="80074132"/>
        <c:scaling>
          <c:orientation val="minMax"/>
        </c:scaling>
        <c:delete val="0"/>
        <c:axPos val="l"/>
        <c:majorGridlines>
          <c:spPr>
            <a:ln w="9360">
              <a:solidFill>
                <a:srgbClr val="878787"/>
              </a:solidFill>
              <a:round/>
            </a:ln>
          </c:spPr>
        </c:majorGridlines>
        <c:numFmt formatCode="\$#,##0;&quot;($&quot;#,##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fr-FR"/>
          </a:p>
        </c:txPr>
        <c:crossAx val="2681346"/>
        <c:crosses val="autoZero"/>
        <c:crossBetween val="between"/>
      </c:valAx>
      <c:spPr>
        <a:noFill/>
        <a:ln w="0">
          <a:noFill/>
        </a:ln>
      </c:spPr>
    </c:plotArea>
    <c:legend>
      <c:legendPos val="b"/>
      <c:overlay val="0"/>
      <c:spPr>
        <a:noFill/>
        <a:ln w="0">
          <a:noFill/>
        </a:ln>
      </c:spPr>
      <c:txPr>
        <a:bodyPr/>
        <a:lstStyle/>
        <a:p>
          <a:pPr>
            <a:defRPr sz="1000" b="0" strike="noStrike" spc="-1">
              <a:solidFill>
                <a:srgbClr val="000000"/>
              </a:solidFill>
              <a:latin typeface="Calibri"/>
            </a:defRPr>
          </a:pPr>
          <a:endParaRPr lang="fr-FR"/>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533400</xdr:colOff>
          <xdr:row>4</xdr:row>
          <xdr:rowOff>0</xdr:rowOff>
        </xdr:from>
        <xdr:to>
          <xdr:col>6</xdr:col>
          <xdr:colOff>393700</xdr:colOff>
          <xdr:row>7</xdr:row>
          <xdr:rowOff>63500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320" b="0" i="0" u="none" strike="noStrike" baseline="0">
                  <a:solidFill>
                    <a:srgbClr val="000000"/>
                  </a:solidFill>
                  <a:latin typeface="Aptos Narrow" charset="0"/>
                </a:rPr>
                <a:t> Generate AI Context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571500</xdr:colOff>
          <xdr:row>17</xdr:row>
          <xdr:rowOff>38100</xdr:rowOff>
        </xdr:from>
        <xdr:to>
          <xdr:col>6</xdr:col>
          <xdr:colOff>431800</xdr:colOff>
          <xdr:row>19</xdr:row>
          <xdr:rowOff>279400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320" b="0" i="0" u="none" strike="noStrike" baseline="0">
                  <a:solidFill>
                    <a:srgbClr val="000000"/>
                  </a:solidFill>
                  <a:latin typeface="Aptos Narrow" charset="0"/>
                </a:rPr>
                <a:t>Generate Board Deck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7</xdr:row>
      <xdr:rowOff>130680</xdr:rowOff>
    </xdr:from>
    <xdr:to>
      <xdr:col>10</xdr:col>
      <xdr:colOff>392760</xdr:colOff>
      <xdr:row>24</xdr:row>
      <xdr:rowOff>131760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2:G20"/>
  <sheetViews>
    <sheetView showGridLines="0" tabSelected="1" zoomScale="110" zoomScaleNormal="110" workbookViewId="0">
      <selection activeCell="B24" sqref="B24"/>
    </sheetView>
  </sheetViews>
  <sheetFormatPr baseColWidth="10" defaultColWidth="8.6640625" defaultRowHeight="15" x14ac:dyDescent="0.2"/>
  <cols>
    <col min="1" max="1" width="3" customWidth="1"/>
    <col min="2" max="2" width="104" customWidth="1"/>
  </cols>
  <sheetData>
    <row r="2" spans="2:7" ht="21" x14ac:dyDescent="0.2">
      <c r="B2" s="1" t="s">
        <v>0</v>
      </c>
    </row>
    <row r="3" spans="2:7" ht="26" x14ac:dyDescent="0.2">
      <c r="B3" s="60" t="s">
        <v>1</v>
      </c>
    </row>
    <row r="5" spans="2:7" ht="17" x14ac:dyDescent="0.2">
      <c r="B5" s="2" t="s">
        <v>2</v>
      </c>
    </row>
    <row r="6" spans="2:7" x14ac:dyDescent="0.2">
      <c r="B6" s="3" t="s">
        <v>3</v>
      </c>
      <c r="G6" s="61" t="s">
        <v>95</v>
      </c>
    </row>
    <row r="7" spans="2:7" x14ac:dyDescent="0.2">
      <c r="B7" s="3" t="s">
        <v>4</v>
      </c>
    </row>
    <row r="8" spans="2:7" x14ac:dyDescent="0.2">
      <c r="B8" s="3" t="s">
        <v>5</v>
      </c>
    </row>
    <row r="9" spans="2:7" x14ac:dyDescent="0.2">
      <c r="B9" s="3" t="s">
        <v>6</v>
      </c>
    </row>
    <row r="10" spans="2:7" x14ac:dyDescent="0.2">
      <c r="B10" s="3" t="s">
        <v>7</v>
      </c>
    </row>
    <row r="11" spans="2:7" x14ac:dyDescent="0.2">
      <c r="B11" s="3" t="s">
        <v>8</v>
      </c>
    </row>
    <row r="13" spans="2:7" ht="17" x14ac:dyDescent="0.2">
      <c r="B13" s="2" t="s">
        <v>9</v>
      </c>
    </row>
    <row r="14" spans="2:7" x14ac:dyDescent="0.2">
      <c r="B14" s="3" t="s">
        <v>10</v>
      </c>
    </row>
    <row r="15" spans="2:7" x14ac:dyDescent="0.2">
      <c r="B15" s="3" t="s">
        <v>11</v>
      </c>
    </row>
    <row r="16" spans="2:7" x14ac:dyDescent="0.2">
      <c r="B16" s="3" t="s">
        <v>12</v>
      </c>
    </row>
    <row r="17" spans="2:2" x14ac:dyDescent="0.2">
      <c r="B17" s="3" t="s">
        <v>13</v>
      </c>
    </row>
    <row r="19" spans="2:2" ht="17" x14ac:dyDescent="0.2">
      <c r="B19" s="2" t="s">
        <v>14</v>
      </c>
    </row>
    <row r="20" spans="2:2" ht="26" x14ac:dyDescent="0.2">
      <c r="B20" s="4" t="s">
        <v>15</v>
      </c>
    </row>
  </sheetData>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57" r:id="rId3" name="Button 9">
              <controlPr defaultSize="0" print="0" autoFill="0" autoPict="0" macro="[0]!GenererContexteAI">
                <anchor moveWithCells="1" sizeWithCells="1">
                  <from>
                    <xdr:col>3</xdr:col>
                    <xdr:colOff>533400</xdr:colOff>
                    <xdr:row>4</xdr:row>
                    <xdr:rowOff>0</xdr:rowOff>
                  </from>
                  <to>
                    <xdr:col>6</xdr:col>
                    <xdr:colOff>393700</xdr:colOff>
                    <xdr:row>7</xdr:row>
                    <xdr:rowOff>63500</xdr:rowOff>
                  </to>
                </anchor>
              </controlPr>
            </control>
          </mc:Choice>
        </mc:AlternateContent>
        <mc:AlternateContent xmlns:mc="http://schemas.openxmlformats.org/markup-compatibility/2006">
          <mc:Choice Requires="x14">
            <control shapeId="2058" r:id="rId4" name="Button 10">
              <controlPr defaultSize="0" print="0" autoFill="0" autoPict="0" macro="[0]!GenererBoardDeck">
                <anchor moveWithCells="1" sizeWithCells="1">
                  <from>
                    <xdr:col>3</xdr:col>
                    <xdr:colOff>571500</xdr:colOff>
                    <xdr:row>17</xdr:row>
                    <xdr:rowOff>38100</xdr:rowOff>
                  </from>
                  <to>
                    <xdr:col>6</xdr:col>
                    <xdr:colOff>431800</xdr:colOff>
                    <xdr:row>19</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I34"/>
  <sheetViews>
    <sheetView showGridLines="0" zoomScaleNormal="100" workbookViewId="0">
      <selection activeCell="N12" sqref="N12"/>
    </sheetView>
  </sheetViews>
  <sheetFormatPr baseColWidth="10" defaultColWidth="8.6640625" defaultRowHeight="15" x14ac:dyDescent="0.2"/>
  <cols>
    <col min="1" max="1" width="3" customWidth="1"/>
    <col min="2" max="10" width="13" customWidth="1"/>
  </cols>
  <sheetData>
    <row r="2" spans="2:9" ht="20" x14ac:dyDescent="0.2">
      <c r="B2" s="5" t="s">
        <v>16</v>
      </c>
    </row>
    <row r="3" spans="2:9" x14ac:dyDescent="0.2">
      <c r="B3" s="6" t="s">
        <v>17</v>
      </c>
    </row>
    <row r="5" spans="2:9" x14ac:dyDescent="0.2">
      <c r="B5" s="63" t="s">
        <v>18</v>
      </c>
      <c r="C5" s="63"/>
      <c r="D5" s="63" t="s">
        <v>19</v>
      </c>
      <c r="E5" s="63"/>
      <c r="F5" s="63" t="s">
        <v>20</v>
      </c>
      <c r="G5" s="63"/>
      <c r="H5" s="63" t="s">
        <v>21</v>
      </c>
      <c r="I5" s="63"/>
    </row>
    <row r="6" spans="2:9" x14ac:dyDescent="0.2">
      <c r="B6" s="64">
        <f>'P&amp;L'!D19</f>
        <v>37000</v>
      </c>
      <c r="C6" s="64"/>
      <c r="D6" s="64">
        <f>'P&amp;L'!E19</f>
        <v>-173000</v>
      </c>
      <c r="E6" s="64"/>
      <c r="F6" s="65">
        <f>'P&amp;L'!D19/'P&amp;L'!D8</f>
        <v>1.9680851063829788E-2</v>
      </c>
      <c r="G6" s="65"/>
      <c r="H6" s="65">
        <f>'P&amp;L'!D19/'P&amp;L'!C19</f>
        <v>0.1761904761904762</v>
      </c>
      <c r="I6" s="65"/>
    </row>
    <row r="7" spans="2:9" x14ac:dyDescent="0.2">
      <c r="B7" s="64"/>
      <c r="C7" s="64"/>
      <c r="D7" s="64"/>
      <c r="E7" s="64"/>
      <c r="F7" s="65"/>
      <c r="G7" s="65"/>
      <c r="H7" s="65"/>
      <c r="I7" s="65"/>
    </row>
    <row r="28" spans="2:5" x14ac:dyDescent="0.2">
      <c r="B28" s="7" t="s">
        <v>22</v>
      </c>
    </row>
    <row r="29" spans="2:5" x14ac:dyDescent="0.2">
      <c r="B29" s="8" t="s">
        <v>23</v>
      </c>
      <c r="C29" s="8" t="s">
        <v>24</v>
      </c>
      <c r="D29" s="8" t="s">
        <v>25</v>
      </c>
      <c r="E29" s="8" t="s">
        <v>26</v>
      </c>
    </row>
    <row r="30" spans="2:5" x14ac:dyDescent="0.2">
      <c r="B30" s="9" t="s">
        <v>27</v>
      </c>
      <c r="C30" s="10">
        <f>'P&amp;L'!E8</f>
        <v>-120000</v>
      </c>
      <c r="D30" s="11">
        <f>'P&amp;L'!F8</f>
        <v>-0.06</v>
      </c>
      <c r="E30" s="12" t="str">
        <f>'P&amp;L'!H8</f>
        <v>Unfavorable</v>
      </c>
    </row>
    <row r="31" spans="2:5" x14ac:dyDescent="0.2">
      <c r="B31" s="9" t="s">
        <v>28</v>
      </c>
      <c r="C31" s="10">
        <f>'P&amp;L'!E13</f>
        <v>25000</v>
      </c>
      <c r="D31" s="11">
        <f>'P&amp;L'!F13</f>
        <v>8.9285714285714288E-2</v>
      </c>
      <c r="E31" s="12" t="str">
        <f>'P&amp;L'!H13</f>
        <v>Unfavorable</v>
      </c>
    </row>
    <row r="32" spans="2:5" x14ac:dyDescent="0.2">
      <c r="B32" s="9" t="s">
        <v>29</v>
      </c>
      <c r="C32" s="10">
        <f>'P&amp;L'!E15</f>
        <v>27000</v>
      </c>
      <c r="D32" s="11">
        <f>'P&amp;L'!F15</f>
        <v>0.6</v>
      </c>
      <c r="E32" s="12" t="str">
        <f>'P&amp;L'!H15</f>
        <v>Unfavorable</v>
      </c>
    </row>
    <row r="33" spans="2:5" x14ac:dyDescent="0.2">
      <c r="B33" s="9" t="s">
        <v>30</v>
      </c>
      <c r="C33" s="10">
        <f>'P&amp;L'!E16</f>
        <v>-25000</v>
      </c>
      <c r="D33" s="11">
        <f>'P&amp;L'!F16</f>
        <v>-0.35714285714285715</v>
      </c>
      <c r="E33" s="12" t="str">
        <f>'P&amp;L'!H16</f>
        <v>Favorable</v>
      </c>
    </row>
    <row r="34" spans="2:5" x14ac:dyDescent="0.2">
      <c r="B34" s="9" t="s">
        <v>31</v>
      </c>
      <c r="C34" s="10">
        <f>'P&amp;L'!E19</f>
        <v>-173000</v>
      </c>
      <c r="D34" s="11">
        <f>'P&amp;L'!F19</f>
        <v>-0.82380952380952377</v>
      </c>
      <c r="E34" s="12" t="str">
        <f>'P&amp;L'!H19</f>
        <v>Unfavorable</v>
      </c>
    </row>
  </sheetData>
  <mergeCells count="8">
    <mergeCell ref="B5:C5"/>
    <mergeCell ref="D5:E5"/>
    <mergeCell ref="F5:G5"/>
    <mergeCell ref="H5:I5"/>
    <mergeCell ref="B6:C7"/>
    <mergeCell ref="D6:E7"/>
    <mergeCell ref="F6:G7"/>
    <mergeCell ref="H6:I7"/>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B1:I39"/>
  <sheetViews>
    <sheetView showGridLines="0" zoomScaleNormal="100" workbookViewId="0">
      <selection activeCell="H14" sqref="H14"/>
    </sheetView>
  </sheetViews>
  <sheetFormatPr baseColWidth="10" defaultColWidth="8.6640625" defaultRowHeight="15" x14ac:dyDescent="0.2"/>
  <cols>
    <col min="1" max="1" width="2" customWidth="1"/>
    <col min="2" max="2" width="40.83203125" customWidth="1"/>
    <col min="3" max="5" width="14" customWidth="1"/>
    <col min="6" max="6" width="12" customWidth="1"/>
    <col min="7" max="7" width="15" customWidth="1"/>
    <col min="8" max="8" width="13" customWidth="1"/>
    <col min="9" max="9" width="10" customWidth="1"/>
  </cols>
  <sheetData>
    <row r="1" spans="2:9" ht="18" x14ac:dyDescent="0.2">
      <c r="B1" s="13" t="s">
        <v>32</v>
      </c>
    </row>
    <row r="2" spans="2:9" x14ac:dyDescent="0.2">
      <c r="B2" s="14" t="s">
        <v>33</v>
      </c>
      <c r="F2" s="15" t="s">
        <v>34</v>
      </c>
    </row>
    <row r="3" spans="2:9" x14ac:dyDescent="0.2">
      <c r="F3" s="16" t="s">
        <v>35</v>
      </c>
      <c r="G3" s="17">
        <v>0.05</v>
      </c>
    </row>
    <row r="4" spans="2:9" x14ac:dyDescent="0.2">
      <c r="F4" s="16" t="s">
        <v>36</v>
      </c>
      <c r="G4" s="18">
        <v>20000</v>
      </c>
    </row>
    <row r="6" spans="2:9" x14ac:dyDescent="0.2">
      <c r="B6" s="19" t="s">
        <v>37</v>
      </c>
      <c r="C6" s="19" t="s">
        <v>38</v>
      </c>
      <c r="D6" s="19" t="s">
        <v>39</v>
      </c>
      <c r="E6" s="19" t="s">
        <v>24</v>
      </c>
      <c r="F6" s="19" t="s">
        <v>25</v>
      </c>
      <c r="G6" s="19" t="s">
        <v>40</v>
      </c>
      <c r="H6" s="19" t="s">
        <v>26</v>
      </c>
      <c r="I6" s="19" t="s">
        <v>41</v>
      </c>
    </row>
    <row r="7" spans="2:9" x14ac:dyDescent="0.2">
      <c r="B7" s="20" t="s">
        <v>42</v>
      </c>
      <c r="C7" s="21"/>
      <c r="D7" s="21"/>
      <c r="E7" s="21"/>
      <c r="F7" s="21"/>
      <c r="G7" s="21"/>
      <c r="H7" s="21"/>
      <c r="I7" s="21"/>
    </row>
    <row r="8" spans="2:9" x14ac:dyDescent="0.2">
      <c r="B8" s="22" t="s">
        <v>27</v>
      </c>
      <c r="C8" s="23">
        <v>2000000</v>
      </c>
      <c r="D8" s="23">
        <v>1880000</v>
      </c>
      <c r="E8" s="23">
        <f>D8-C8</f>
        <v>-120000</v>
      </c>
      <c r="F8" s="24">
        <f>IF(C8=0,"",(D8-C8)/C8)</f>
        <v>-0.06</v>
      </c>
      <c r="G8" s="12" t="s">
        <v>27</v>
      </c>
      <c r="H8" s="12" t="str">
        <f>IF(G8="Revenue",IF(E8&gt;=0,"Favorable","Unfavorable"),IF(E8&lt;=0,"Favorable","Unfavorable"))</f>
        <v>Unfavorable</v>
      </c>
      <c r="I8" s="12" t="str">
        <f>IF(AND(ABS(F8)&gt;=$G$3,ABS(E8)&gt;=$G$4),"FLAG","")</f>
        <v>FLAG</v>
      </c>
    </row>
    <row r="9" spans="2:9" x14ac:dyDescent="0.2">
      <c r="B9" s="20" t="s">
        <v>43</v>
      </c>
      <c r="C9" s="21"/>
      <c r="D9" s="21"/>
      <c r="E9" s="21"/>
      <c r="F9" s="21"/>
      <c r="G9" s="21"/>
      <c r="H9" s="21"/>
      <c r="I9" s="21"/>
    </row>
    <row r="10" spans="2:9" x14ac:dyDescent="0.2">
      <c r="B10" s="22" t="s">
        <v>44</v>
      </c>
      <c r="C10" s="23">
        <v>1300000</v>
      </c>
      <c r="D10" s="23">
        <v>1330000</v>
      </c>
      <c r="E10" s="23">
        <f>D10-C10</f>
        <v>30000</v>
      </c>
      <c r="F10" s="24">
        <f>IF(C10=0,"",(D10-C10)/C10)</f>
        <v>2.3076923076923078E-2</v>
      </c>
      <c r="G10" s="12" t="s">
        <v>45</v>
      </c>
      <c r="H10" s="12" t="str">
        <f>IF(G10="Revenue",IF(E10&gt;=0,"Favorable","Unfavorable"),IF(E10&lt;=0,"Favorable","Unfavorable"))</f>
        <v>Unfavorable</v>
      </c>
      <c r="I10" s="12" t="str">
        <f>IF(AND(ABS(F10)&gt;=$G$3,ABS(E10)&gt;=$G$4),"FLAG","")</f>
        <v/>
      </c>
    </row>
    <row r="11" spans="2:9" x14ac:dyDescent="0.2">
      <c r="B11" s="25" t="s">
        <v>46</v>
      </c>
      <c r="C11" s="26">
        <f>C8-C10</f>
        <v>700000</v>
      </c>
      <c r="D11" s="26">
        <f>D8-D10</f>
        <v>550000</v>
      </c>
      <c r="E11" s="26">
        <f>D11-C11</f>
        <v>-150000</v>
      </c>
      <c r="F11" s="27">
        <f>IF(C11=0,"",(D11-C11)/C11)</f>
        <v>-0.21428571428571427</v>
      </c>
      <c r="G11" s="28" t="s">
        <v>27</v>
      </c>
      <c r="H11" s="28" t="str">
        <f>IF(G11="Revenue",IF(E11&gt;=0,"Favorable","Unfavorable"),IF(E11&lt;=0,"Favorable","Unfavorable"))</f>
        <v>Unfavorable</v>
      </c>
      <c r="I11" s="28" t="str">
        <f>IF(AND(ABS(F11)&gt;=$G$3,ABS(E11)&gt;=$G$4),"FLAG","")</f>
        <v>FLAG</v>
      </c>
    </row>
    <row r="12" spans="2:9" x14ac:dyDescent="0.2">
      <c r="B12" s="20" t="s">
        <v>47</v>
      </c>
      <c r="C12" s="21"/>
      <c r="D12" s="21"/>
      <c r="E12" s="21"/>
      <c r="F12" s="21"/>
      <c r="G12" s="21"/>
      <c r="H12" s="21"/>
      <c r="I12" s="21"/>
    </row>
    <row r="13" spans="2:9" x14ac:dyDescent="0.2">
      <c r="B13" s="22" t="s">
        <v>28</v>
      </c>
      <c r="C13" s="23">
        <v>280000</v>
      </c>
      <c r="D13" s="23">
        <v>305000</v>
      </c>
      <c r="E13" s="23">
        <f t="shared" ref="E13:E19" si="0">D13-C13</f>
        <v>25000</v>
      </c>
      <c r="F13" s="24">
        <f t="shared" ref="F13:F19" si="1">IF(C13=0,"",(D13-C13)/C13)</f>
        <v>8.9285714285714288E-2</v>
      </c>
      <c r="G13" s="12" t="s">
        <v>45</v>
      </c>
      <c r="H13" s="12" t="str">
        <f t="shared" ref="H13:H19" si="2">IF(G13="Revenue",IF(E13&gt;=0,"Favorable","Unfavorable"),IF(E13&lt;=0,"Favorable","Unfavorable"))</f>
        <v>Unfavorable</v>
      </c>
      <c r="I13" s="12" t="str">
        <f t="shared" ref="I13:I19" si="3">IF(AND(ABS(F13)&gt;=$G$3,ABS(E13)&gt;=$G$4),"FLAG","")</f>
        <v>FLAG</v>
      </c>
    </row>
    <row r="14" spans="2:9" x14ac:dyDescent="0.2">
      <c r="B14" s="22" t="s">
        <v>48</v>
      </c>
      <c r="C14" s="23">
        <v>60000</v>
      </c>
      <c r="D14" s="23">
        <v>58000</v>
      </c>
      <c r="E14" s="23">
        <f t="shared" si="0"/>
        <v>-2000</v>
      </c>
      <c r="F14" s="24">
        <f t="shared" si="1"/>
        <v>-3.3333333333333333E-2</v>
      </c>
      <c r="G14" s="12" t="s">
        <v>45</v>
      </c>
      <c r="H14" s="12" t="str">
        <f t="shared" si="2"/>
        <v>Favorable</v>
      </c>
      <c r="I14" s="12" t="str">
        <f t="shared" si="3"/>
        <v/>
      </c>
    </row>
    <row r="15" spans="2:9" x14ac:dyDescent="0.2">
      <c r="B15" s="22" t="s">
        <v>29</v>
      </c>
      <c r="C15" s="23">
        <v>45000</v>
      </c>
      <c r="D15" s="23">
        <v>72000</v>
      </c>
      <c r="E15" s="23">
        <f t="shared" si="0"/>
        <v>27000</v>
      </c>
      <c r="F15" s="24">
        <f t="shared" si="1"/>
        <v>0.6</v>
      </c>
      <c r="G15" s="12" t="s">
        <v>45</v>
      </c>
      <c r="H15" s="12" t="str">
        <f t="shared" si="2"/>
        <v>Unfavorable</v>
      </c>
      <c r="I15" s="12" t="str">
        <f t="shared" si="3"/>
        <v>FLAG</v>
      </c>
    </row>
    <row r="16" spans="2:9" x14ac:dyDescent="0.2">
      <c r="B16" s="22" t="s">
        <v>30</v>
      </c>
      <c r="C16" s="23">
        <v>70000</v>
      </c>
      <c r="D16" s="23">
        <v>45000</v>
      </c>
      <c r="E16" s="23">
        <f t="shared" si="0"/>
        <v>-25000</v>
      </c>
      <c r="F16" s="24">
        <f t="shared" si="1"/>
        <v>-0.35714285714285715</v>
      </c>
      <c r="G16" s="12" t="s">
        <v>45</v>
      </c>
      <c r="H16" s="12" t="str">
        <f t="shared" si="2"/>
        <v>Favorable</v>
      </c>
      <c r="I16" s="12" t="str">
        <f t="shared" si="3"/>
        <v>FLAG</v>
      </c>
    </row>
    <row r="17" spans="2:9" x14ac:dyDescent="0.2">
      <c r="B17" s="22" t="s">
        <v>49</v>
      </c>
      <c r="C17" s="23">
        <v>35000</v>
      </c>
      <c r="D17" s="23">
        <v>33000</v>
      </c>
      <c r="E17" s="23">
        <f t="shared" si="0"/>
        <v>-2000</v>
      </c>
      <c r="F17" s="24">
        <f t="shared" si="1"/>
        <v>-5.7142857142857141E-2</v>
      </c>
      <c r="G17" s="12" t="s">
        <v>45</v>
      </c>
      <c r="H17" s="12" t="str">
        <f t="shared" si="2"/>
        <v>Favorable</v>
      </c>
      <c r="I17" s="12" t="str">
        <f t="shared" si="3"/>
        <v/>
      </c>
    </row>
    <row r="18" spans="2:9" x14ac:dyDescent="0.2">
      <c r="B18" s="25" t="s">
        <v>50</v>
      </c>
      <c r="C18" s="26">
        <f>SUM(C13:C17)</f>
        <v>490000</v>
      </c>
      <c r="D18" s="26">
        <f>SUM(D13:D17)</f>
        <v>513000</v>
      </c>
      <c r="E18" s="26">
        <f t="shared" si="0"/>
        <v>23000</v>
      </c>
      <c r="F18" s="27">
        <f t="shared" si="1"/>
        <v>4.6938775510204082E-2</v>
      </c>
      <c r="G18" s="28" t="s">
        <v>45</v>
      </c>
      <c r="H18" s="28" t="str">
        <f t="shared" si="2"/>
        <v>Unfavorable</v>
      </c>
      <c r="I18" s="28" t="str">
        <f t="shared" si="3"/>
        <v/>
      </c>
    </row>
    <row r="19" spans="2:9" x14ac:dyDescent="0.2">
      <c r="B19" s="29" t="s">
        <v>31</v>
      </c>
      <c r="C19" s="30">
        <f>C11-C18</f>
        <v>210000</v>
      </c>
      <c r="D19" s="30">
        <f>D11-D18</f>
        <v>37000</v>
      </c>
      <c r="E19" s="30">
        <f t="shared" si="0"/>
        <v>-173000</v>
      </c>
      <c r="F19" s="31">
        <f t="shared" si="1"/>
        <v>-0.82380952380952377</v>
      </c>
      <c r="G19" s="32" t="s">
        <v>27</v>
      </c>
      <c r="H19" s="32" t="str">
        <f t="shared" si="2"/>
        <v>Unfavorable</v>
      </c>
      <c r="I19" s="32" t="str">
        <f t="shared" si="3"/>
        <v>FLAG</v>
      </c>
    </row>
    <row r="22" spans="2:9" ht="16" x14ac:dyDescent="0.2">
      <c r="B22" s="33" t="s">
        <v>51</v>
      </c>
    </row>
    <row r="23" spans="2:9" x14ac:dyDescent="0.2">
      <c r="B23" s="34" t="s">
        <v>52</v>
      </c>
      <c r="C23" s="35">
        <f>C11/C8</f>
        <v>0.35</v>
      </c>
    </row>
    <row r="24" spans="2:9" x14ac:dyDescent="0.2">
      <c r="B24" s="34" t="s">
        <v>53</v>
      </c>
      <c r="C24" s="35">
        <f>D11/D8</f>
        <v>0.29255319148936171</v>
      </c>
    </row>
    <row r="25" spans="2:9" x14ac:dyDescent="0.2">
      <c r="B25" s="34" t="s">
        <v>54</v>
      </c>
      <c r="C25" s="35">
        <f>C19/C8</f>
        <v>0.105</v>
      </c>
    </row>
    <row r="26" spans="2:9" x14ac:dyDescent="0.2">
      <c r="B26" s="34" t="s">
        <v>55</v>
      </c>
      <c r="C26" s="35">
        <f>D19/D8</f>
        <v>1.9680851063829788E-2</v>
      </c>
    </row>
    <row r="27" spans="2:9" x14ac:dyDescent="0.2">
      <c r="B27" s="34" t="s">
        <v>56</v>
      </c>
      <c r="C27" s="35">
        <f>D19/C19</f>
        <v>0.1761904761904762</v>
      </c>
    </row>
    <row r="30" spans="2:9" ht="16" x14ac:dyDescent="0.2">
      <c r="B30" s="33" t="s">
        <v>57</v>
      </c>
    </row>
    <row r="31" spans="2:9" x14ac:dyDescent="0.2">
      <c r="B31" s="14" t="s">
        <v>58</v>
      </c>
    </row>
    <row r="32" spans="2:9" x14ac:dyDescent="0.2">
      <c r="B32" s="36"/>
      <c r="C32" s="36" t="s">
        <v>38</v>
      </c>
      <c r="D32" s="36" t="s">
        <v>39</v>
      </c>
      <c r="E32" s="36" t="s">
        <v>59</v>
      </c>
    </row>
    <row r="33" spans="2:5" x14ac:dyDescent="0.2">
      <c r="B33" s="22" t="s">
        <v>60</v>
      </c>
      <c r="C33" s="37">
        <v>10000</v>
      </c>
      <c r="D33" s="37">
        <v>8000</v>
      </c>
      <c r="E33" s="38">
        <f>D33-C33</f>
        <v>-2000</v>
      </c>
    </row>
    <row r="34" spans="2:5" x14ac:dyDescent="0.2">
      <c r="B34" s="22" t="s">
        <v>61</v>
      </c>
      <c r="C34" s="39">
        <v>200</v>
      </c>
      <c r="D34" s="39">
        <v>235</v>
      </c>
      <c r="E34" s="23">
        <f>D34-C34</f>
        <v>35</v>
      </c>
    </row>
    <row r="35" spans="2:5" x14ac:dyDescent="0.2">
      <c r="B35" s="40" t="s">
        <v>62</v>
      </c>
      <c r="C35" s="41">
        <f>C33*C34</f>
        <v>2000000</v>
      </c>
      <c r="D35" s="41">
        <f>D33*D34</f>
        <v>1880000</v>
      </c>
      <c r="E35" s="41">
        <f>D35-C35</f>
        <v>-120000</v>
      </c>
    </row>
    <row r="37" spans="2:5" x14ac:dyDescent="0.2">
      <c r="B37" s="42" t="s">
        <v>63</v>
      </c>
      <c r="E37" s="43">
        <f>(D33-C33)*C34</f>
        <v>-400000</v>
      </c>
    </row>
    <row r="38" spans="2:5" x14ac:dyDescent="0.2">
      <c r="B38" s="42" t="s">
        <v>64</v>
      </c>
      <c r="E38" s="43">
        <f>(D34-C34)*D33</f>
        <v>280000</v>
      </c>
    </row>
    <row r="39" spans="2:5" x14ac:dyDescent="0.2">
      <c r="B39" s="44" t="s">
        <v>65</v>
      </c>
      <c r="C39" s="45" t="str">
        <f>IF(ROUND(E39-E8,0)=0,"OK","diff!")</f>
        <v>OK</v>
      </c>
      <c r="E39" s="46">
        <f>E37+E38</f>
        <v>-120000</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B2:B12"/>
  <sheetViews>
    <sheetView showGridLines="0" zoomScale="112" zoomScaleNormal="100" workbookViewId="0">
      <selection activeCell="F10" sqref="F10"/>
    </sheetView>
  </sheetViews>
  <sheetFormatPr baseColWidth="10" defaultColWidth="8.6640625" defaultRowHeight="15" x14ac:dyDescent="0.2"/>
  <cols>
    <col min="1" max="1" width="3" customWidth="1"/>
    <col min="2" max="2" width="110" customWidth="1"/>
  </cols>
  <sheetData>
    <row r="2" spans="2:2" ht="18" x14ac:dyDescent="0.2">
      <c r="B2" s="13" t="s">
        <v>66</v>
      </c>
    </row>
    <row r="3" spans="2:2" x14ac:dyDescent="0.2">
      <c r="B3" s="47" t="s">
        <v>67</v>
      </c>
    </row>
    <row r="5" spans="2:2" x14ac:dyDescent="0.2">
      <c r="B5" s="48" t="s">
        <v>68</v>
      </c>
    </row>
    <row r="6" spans="2:2" ht="69.75" customHeight="1" x14ac:dyDescent="0.2">
      <c r="B6" s="49" t="s">
        <v>97</v>
      </c>
    </row>
    <row r="8" spans="2:2" x14ac:dyDescent="0.2">
      <c r="B8" s="48" t="s">
        <v>69</v>
      </c>
    </row>
    <row r="9" spans="2:2" ht="139.5" customHeight="1" x14ac:dyDescent="0.2">
      <c r="B9" s="50" t="s">
        <v>96</v>
      </c>
    </row>
    <row r="11" spans="2:2" x14ac:dyDescent="0.2">
      <c r="B11" s="48" t="s">
        <v>70</v>
      </c>
    </row>
    <row r="12" spans="2:2" ht="138" customHeight="1" x14ac:dyDescent="0.2">
      <c r="B12" s="62" t="s">
        <v>102</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B2:B18"/>
  <sheetViews>
    <sheetView showGridLines="0" zoomScaleNormal="100" workbookViewId="0">
      <selection activeCell="B14" sqref="B14"/>
    </sheetView>
  </sheetViews>
  <sheetFormatPr baseColWidth="10" defaultColWidth="8.6640625" defaultRowHeight="15" x14ac:dyDescent="0.2"/>
  <cols>
    <col min="1" max="1" width="3" customWidth="1"/>
    <col min="2" max="2" width="110" customWidth="1"/>
  </cols>
  <sheetData>
    <row r="2" spans="2:2" ht="18" x14ac:dyDescent="0.2">
      <c r="B2" s="13" t="s">
        <v>71</v>
      </c>
    </row>
    <row r="3" spans="2:2" x14ac:dyDescent="0.2">
      <c r="B3" s="14" t="s">
        <v>72</v>
      </c>
    </row>
    <row r="5" spans="2:2" x14ac:dyDescent="0.2">
      <c r="B5" s="7" t="s">
        <v>73</v>
      </c>
    </row>
    <row r="6" spans="2:2" ht="75" customHeight="1" x14ac:dyDescent="0.2">
      <c r="B6" s="49" t="s">
        <v>99</v>
      </c>
    </row>
    <row r="8" spans="2:2" x14ac:dyDescent="0.2">
      <c r="B8" s="7" t="s">
        <v>74</v>
      </c>
    </row>
    <row r="9" spans="2:2" ht="75" customHeight="1" x14ac:dyDescent="0.2">
      <c r="B9" s="49" t="s">
        <v>100</v>
      </c>
    </row>
    <row r="11" spans="2:2" x14ac:dyDescent="0.2">
      <c r="B11" s="7" t="s">
        <v>75</v>
      </c>
    </row>
    <row r="12" spans="2:2" ht="75" customHeight="1" x14ac:dyDescent="0.2">
      <c r="B12" s="49" t="s">
        <v>101</v>
      </c>
    </row>
    <row r="14" spans="2:2" x14ac:dyDescent="0.2">
      <c r="B14" s="7" t="s">
        <v>76</v>
      </c>
    </row>
    <row r="15" spans="2:2" ht="45" customHeight="1" x14ac:dyDescent="0.2">
      <c r="B15" s="51" t="s">
        <v>77</v>
      </c>
    </row>
    <row r="17" spans="2:2" x14ac:dyDescent="0.2">
      <c r="B17" s="7" t="s">
        <v>78</v>
      </c>
    </row>
    <row r="18" spans="2:2" ht="75" customHeight="1" x14ac:dyDescent="0.2">
      <c r="B18" s="52" t="s">
        <v>79</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B2:C6"/>
  <sheetViews>
    <sheetView showGridLines="0" zoomScaleNormal="100" workbookViewId="0">
      <selection activeCell="H15" sqref="H15"/>
    </sheetView>
  </sheetViews>
  <sheetFormatPr baseColWidth="10" defaultColWidth="8.6640625" defaultRowHeight="15" x14ac:dyDescent="0.2"/>
  <cols>
    <col min="1" max="1" width="3" customWidth="1"/>
    <col min="2" max="2" width="26" customWidth="1"/>
    <col min="3" max="3" width="88" customWidth="1"/>
  </cols>
  <sheetData>
    <row r="2" spans="2:3" ht="18" x14ac:dyDescent="0.2">
      <c r="B2" s="13" t="s">
        <v>80</v>
      </c>
    </row>
    <row r="3" spans="2:3" x14ac:dyDescent="0.2">
      <c r="B3" s="14"/>
    </row>
    <row r="5" spans="2:3" x14ac:dyDescent="0.2">
      <c r="B5" s="53" t="s">
        <v>23</v>
      </c>
      <c r="C5" s="53" t="s">
        <v>81</v>
      </c>
    </row>
    <row r="6" spans="2:3" ht="170" customHeight="1" x14ac:dyDescent="0.2">
      <c r="B6" s="54" t="s">
        <v>82</v>
      </c>
      <c r="C6" s="52" t="s">
        <v>98</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H12"/>
  <sheetViews>
    <sheetView showGridLines="0" zoomScaleNormal="100" workbookViewId="0">
      <selection activeCell="L34" sqref="L34"/>
    </sheetView>
  </sheetViews>
  <sheetFormatPr baseColWidth="10" defaultColWidth="8.6640625" defaultRowHeight="15" x14ac:dyDescent="0.2"/>
  <cols>
    <col min="1" max="1" width="3" customWidth="1"/>
    <col min="2" max="6" width="15" customWidth="1"/>
  </cols>
  <sheetData>
    <row r="1" spans="2:8" x14ac:dyDescent="0.2">
      <c r="B1" s="55" t="s">
        <v>83</v>
      </c>
    </row>
    <row r="3" spans="2:8" x14ac:dyDescent="0.2">
      <c r="B3" s="56" t="s">
        <v>84</v>
      </c>
      <c r="C3" s="56" t="s">
        <v>85</v>
      </c>
      <c r="D3" s="56" t="s">
        <v>86</v>
      </c>
      <c r="E3" s="56" t="s">
        <v>87</v>
      </c>
      <c r="F3" s="56" t="s">
        <v>88</v>
      </c>
      <c r="G3" s="57" t="s">
        <v>89</v>
      </c>
      <c r="H3" s="57" t="s">
        <v>90</v>
      </c>
    </row>
    <row r="4" spans="2:8" x14ac:dyDescent="0.2">
      <c r="B4" s="9" t="s">
        <v>91</v>
      </c>
      <c r="C4" s="58">
        <v>0</v>
      </c>
      <c r="D4" s="58">
        <f>'P&amp;L'!C19</f>
        <v>210000</v>
      </c>
      <c r="E4" s="58">
        <v>0</v>
      </c>
      <c r="F4" s="58">
        <v>0</v>
      </c>
      <c r="G4" s="59"/>
      <c r="H4" s="59">
        <f>'P&amp;L'!C19</f>
        <v>210000</v>
      </c>
    </row>
    <row r="5" spans="2:8" x14ac:dyDescent="0.2">
      <c r="B5" s="9" t="s">
        <v>27</v>
      </c>
      <c r="C5" s="58">
        <f t="shared" ref="C5:C11" si="0">MIN(H4,H5)</f>
        <v>90000</v>
      </c>
      <c r="D5" s="58">
        <v>0</v>
      </c>
      <c r="E5" s="58">
        <f t="shared" ref="E5:E11" si="1">IF(G5&gt;0,G5,0)</f>
        <v>0</v>
      </c>
      <c r="F5" s="58">
        <f t="shared" ref="F5:F11" si="2">IF(G5&lt;0,-G5,0)</f>
        <v>120000</v>
      </c>
      <c r="G5" s="59">
        <f>'P&amp;L'!E8</f>
        <v>-120000</v>
      </c>
      <c r="H5" s="59">
        <f t="shared" ref="H5:H11" si="3">H4+G5</f>
        <v>90000</v>
      </c>
    </row>
    <row r="6" spans="2:8" x14ac:dyDescent="0.2">
      <c r="B6" s="9" t="s">
        <v>44</v>
      </c>
      <c r="C6" s="58">
        <f t="shared" si="0"/>
        <v>60000</v>
      </c>
      <c r="D6" s="58">
        <v>0</v>
      </c>
      <c r="E6" s="58">
        <f t="shared" si="1"/>
        <v>0</v>
      </c>
      <c r="F6" s="58">
        <f t="shared" si="2"/>
        <v>30000</v>
      </c>
      <c r="G6" s="59">
        <f>-'P&amp;L'!E10</f>
        <v>-30000</v>
      </c>
      <c r="H6" s="59">
        <f t="shared" si="3"/>
        <v>60000</v>
      </c>
    </row>
    <row r="7" spans="2:8" x14ac:dyDescent="0.2">
      <c r="B7" s="9" t="s">
        <v>92</v>
      </c>
      <c r="C7" s="58">
        <f t="shared" si="0"/>
        <v>35000</v>
      </c>
      <c r="D7" s="58">
        <v>0</v>
      </c>
      <c r="E7" s="58">
        <f t="shared" si="1"/>
        <v>0</v>
      </c>
      <c r="F7" s="58">
        <f t="shared" si="2"/>
        <v>25000</v>
      </c>
      <c r="G7" s="59">
        <f>-'P&amp;L'!E13</f>
        <v>-25000</v>
      </c>
      <c r="H7" s="59">
        <f t="shared" si="3"/>
        <v>35000</v>
      </c>
    </row>
    <row r="8" spans="2:8" x14ac:dyDescent="0.2">
      <c r="B8" s="9" t="s">
        <v>93</v>
      </c>
      <c r="C8" s="58">
        <f t="shared" si="0"/>
        <v>35000</v>
      </c>
      <c r="D8" s="58">
        <v>0</v>
      </c>
      <c r="E8" s="58">
        <f t="shared" si="1"/>
        <v>2000</v>
      </c>
      <c r="F8" s="58">
        <f t="shared" si="2"/>
        <v>0</v>
      </c>
      <c r="G8" s="59">
        <f>-'P&amp;L'!E14</f>
        <v>2000</v>
      </c>
      <c r="H8" s="59">
        <f t="shared" si="3"/>
        <v>37000</v>
      </c>
    </row>
    <row r="9" spans="2:8" x14ac:dyDescent="0.2">
      <c r="B9" s="9" t="s">
        <v>29</v>
      </c>
      <c r="C9" s="58">
        <f t="shared" si="0"/>
        <v>10000</v>
      </c>
      <c r="D9" s="58">
        <v>0</v>
      </c>
      <c r="E9" s="58">
        <f t="shared" si="1"/>
        <v>0</v>
      </c>
      <c r="F9" s="58">
        <f t="shared" si="2"/>
        <v>27000</v>
      </c>
      <c r="G9" s="59">
        <f>-'P&amp;L'!E15</f>
        <v>-27000</v>
      </c>
      <c r="H9" s="59">
        <f t="shared" si="3"/>
        <v>10000</v>
      </c>
    </row>
    <row r="10" spans="2:8" x14ac:dyDescent="0.2">
      <c r="B10" s="9" t="s">
        <v>94</v>
      </c>
      <c r="C10" s="58">
        <f t="shared" si="0"/>
        <v>10000</v>
      </c>
      <c r="D10" s="58">
        <v>0</v>
      </c>
      <c r="E10" s="58">
        <f t="shared" si="1"/>
        <v>25000</v>
      </c>
      <c r="F10" s="58">
        <f t="shared" si="2"/>
        <v>0</v>
      </c>
      <c r="G10" s="59">
        <f>-'P&amp;L'!E16</f>
        <v>25000</v>
      </c>
      <c r="H10" s="59">
        <f t="shared" si="3"/>
        <v>35000</v>
      </c>
    </row>
    <row r="11" spans="2:8" x14ac:dyDescent="0.2">
      <c r="B11" s="9" t="s">
        <v>49</v>
      </c>
      <c r="C11" s="58">
        <f t="shared" si="0"/>
        <v>35000</v>
      </c>
      <c r="D11" s="58">
        <v>0</v>
      </c>
      <c r="E11" s="58">
        <f t="shared" si="1"/>
        <v>2000</v>
      </c>
      <c r="F11" s="58">
        <f t="shared" si="2"/>
        <v>0</v>
      </c>
      <c r="G11" s="59">
        <f>-'P&amp;L'!E17</f>
        <v>2000</v>
      </c>
      <c r="H11" s="59">
        <f t="shared" si="3"/>
        <v>37000</v>
      </c>
    </row>
    <row r="12" spans="2:8" x14ac:dyDescent="0.2">
      <c r="B12" s="9" t="s">
        <v>18</v>
      </c>
      <c r="C12" s="58">
        <v>0</v>
      </c>
      <c r="D12" s="58">
        <f>'P&amp;L'!D19</f>
        <v>37000</v>
      </c>
      <c r="E12" s="58">
        <v>0</v>
      </c>
      <c r="F12" s="58">
        <v>0</v>
      </c>
      <c r="G12" s="59"/>
      <c r="H12" s="59">
        <f>'P&amp;L'!D19</f>
        <v>37000</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Feuilles de calcul</vt:lpstr>
      </vt:variant>
      <vt:variant>
        <vt:i4>7</vt:i4>
      </vt:variant>
    </vt:vector>
  </HeadingPairs>
  <TitlesOfParts>
    <vt:vector size="7" baseType="lpstr">
      <vt:lpstr>How to Use</vt:lpstr>
      <vt:lpstr>Dashboard</vt:lpstr>
      <vt:lpstr>P&amp;L</vt:lpstr>
      <vt:lpstr>AI Context</vt:lpstr>
      <vt:lpstr>AI Prompts</vt:lpstr>
      <vt:lpstr>Sample Comments</vt:lpstr>
      <vt:lpstr>Calc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romain Gageot</cp:lastModifiedBy>
  <cp:revision>1</cp:revision>
  <dcterms:created xsi:type="dcterms:W3CDTF">2026-07-03T16:06:43Z</dcterms:created>
  <dcterms:modified xsi:type="dcterms:W3CDTF">2026-07-06T18:55:26Z</dcterms:modified>
  <dc:language>en-US</dc:language>
</cp:coreProperties>
</file>